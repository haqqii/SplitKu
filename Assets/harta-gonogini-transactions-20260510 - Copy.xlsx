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qqi\Proyek Mini\Harta Gono Gini\Assets\"/>
    </mc:Choice>
  </mc:AlternateContent>
  <bookViews>
    <workbookView xWindow="0" yWindow="0" windowWidth="20490" windowHeight="7020"/>
  </bookViews>
  <sheets>
    <sheet name="harta-gonogini-transactions (2" sheetId="2" r:id="rId1"/>
  </sheets>
  <calcPr calcId="162913"/>
</workbook>
</file>

<file path=xl/calcChain.xml><?xml version="1.0" encoding="utf-8"?>
<calcChain xmlns="http://schemas.openxmlformats.org/spreadsheetml/2006/main">
  <c r="F2" i="2" l="1"/>
  <c r="G4" i="2"/>
  <c r="G5" i="2"/>
  <c r="G6" i="2"/>
  <c r="G7" i="2"/>
  <c r="G8" i="2"/>
  <c r="G9" i="2"/>
  <c r="G10" i="2"/>
  <c r="G2" i="2"/>
  <c r="G3" i="2"/>
  <c r="J2" i="2"/>
  <c r="O2" i="2"/>
  <c r="N2" i="2"/>
  <c r="M2" i="2"/>
  <c r="L2" i="2"/>
  <c r="K2" i="2"/>
</calcChain>
</file>

<file path=xl/sharedStrings.xml><?xml version="1.0" encoding="utf-8"?>
<sst xmlns="http://schemas.openxmlformats.org/spreadsheetml/2006/main" count="31" uniqueCount="20">
  <si>
    <t xml:space="preserve">							</t>
  </si>
  <si>
    <t>ID</t>
  </si>
  <si>
    <t>Tanggal</t>
  </si>
  <si>
    <t>Deskripsi</t>
  </si>
  <si>
    <t>Kategori</t>
  </si>
  <si>
    <t>Pembayar</t>
  </si>
  <si>
    <t>Total</t>
  </si>
  <si>
    <t>Split</t>
  </si>
  <si>
    <t>Status</t>
  </si>
  <si>
    <t>Astro</t>
  </si>
  <si>
    <t>Haqqi</t>
  </si>
  <si>
    <t>Pending</t>
  </si>
  <si>
    <t>Lintang</t>
  </si>
  <si>
    <t>belanja</t>
  </si>
  <si>
    <t>Qulub</t>
  </si>
  <si>
    <t>Yohn</t>
  </si>
  <si>
    <t>Aldo</t>
  </si>
  <si>
    <t>Uduksss</t>
  </si>
  <si>
    <t>Karaokee</t>
  </si>
  <si>
    <t>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</si>
</sst>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G6" sqref="G6"/>
    </sheetView>
  </sheetViews>
  <sheetFormatPr defaultRowHeight="15" x14ac:dyDescent="0.25"/>
  <cols>
    <col min="1" max="1" width="6.85546875" customWidth="1"/>
    <col min="2" max="2" width="8.7109375" bestFit="1" customWidth="1"/>
    <col min="7" max="7" width="45.85546875" style="2" customWidth="1"/>
  </cols>
  <sheetData>
    <row r="1" spans="1:1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2" t="s">
        <v>7</v>
      </c>
      <c r="H1" t="s">
        <v>8</v>
      </c>
      <c r="J1" t="s">
        <v>14</v>
      </c>
      <c r="K1" t="s">
        <v>12</v>
      </c>
      <c r="L1" t="s">
        <v>15</v>
      </c>
      <c r="M1" t="s">
        <v>16</v>
      </c>
      <c r="N1" t="s">
        <v>10</v>
      </c>
      <c r="O1" t="s">
        <v>19</v>
      </c>
    </row>
    <row r="2" spans="1:15" ht="45" x14ac:dyDescent="0.25">
      <c r="A2">
        <v>1</v>
      </c>
      <c r="B2" s="1">
        <v>46270</v>
      </c>
      <c r="C2" t="s">
        <v>9</v>
      </c>
      <c r="D2" t="s">
        <v>13</v>
      </c>
      <c r="E2" t="s">
        <v>10</v>
      </c>
      <c r="F2">
        <f>SUM(J2:O2)</f>
        <v>150000</v>
      </c>
      <c r="G2" s="2" t="str">
        <f>IF(OR(J2="",J2=0,J2="-"),"",J$1&amp;"("&amp;J2&amp;")("&amp;$C2&amp;")")&amp;
IF(OR(K2="",K2=0,K2="-"),"",IF(J2="", "", "; ")&amp;K$1&amp;"("&amp;K2&amp;")("&amp;$C2&amp;")")&amp;
IF(OR(L2="",L2=0,L2="-"),"", "; "&amp;L$1&amp;"("&amp;L2&amp;")("&amp;$C2&amp;")")&amp;
IF(OR(M2="",M2=0,M2="-"),"", "; "&amp;M$1&amp;"("&amp;M2&amp;")("&amp;$C2&amp;")")&amp;
IF(OR(N2="",N2=0,N2="-"),"", "; "&amp;N$1&amp;"("&amp;N2&amp;")("&amp;$C2&amp;")")&amp;
IF(OR(O2="",O2=0,O2="-"),"", "; "&amp;O$1&amp;"("&amp;O2&amp;")("&amp;$C2&amp;")")</f>
        <v>Qulub(25000)(Astro); Lintang(25000)(Astro); Yohn(25000)(Astro); Aldo(25000)(Astro); Haqqi(25000)(Astro); Acha(25000)(Astro)</v>
      </c>
      <c r="H2" t="s">
        <v>11</v>
      </c>
      <c r="J2">
        <f>100000/4</f>
        <v>25000</v>
      </c>
      <c r="K2">
        <f t="shared" ref="K2:O2" si="0">100000/4</f>
        <v>25000</v>
      </c>
      <c r="L2">
        <f t="shared" si="0"/>
        <v>25000</v>
      </c>
      <c r="M2">
        <f t="shared" si="0"/>
        <v>25000</v>
      </c>
      <c r="N2">
        <f t="shared" si="0"/>
        <v>25000</v>
      </c>
      <c r="O2">
        <f t="shared" si="0"/>
        <v>25000</v>
      </c>
    </row>
    <row r="3" spans="1:15" ht="45" x14ac:dyDescent="0.25">
      <c r="A3">
        <v>2</v>
      </c>
      <c r="B3" s="1">
        <v>46270</v>
      </c>
      <c r="C3" t="s">
        <v>17</v>
      </c>
      <c r="D3" t="s">
        <v>13</v>
      </c>
      <c r="E3" t="s">
        <v>12</v>
      </c>
      <c r="F3">
        <v>273000</v>
      </c>
      <c r="G3" s="2" t="str">
        <f>IF(OR(J3="",J3=0,J3="-"),"",J$1&amp;"("&amp;J3&amp;")("&amp;$C3&amp;")")&amp;
IF(OR(K3="",K3=0,K3="-"),"",IF(J3="", "", "; ")&amp;K$1&amp;"("&amp;K3&amp;")("&amp;$C3&amp;")")&amp;
IF(OR(L3="",L3=0,L3="-"),"", "; "&amp;L$1&amp;"("&amp;L3&amp;")("&amp;$C3&amp;")")&amp;
IF(OR(M3="",M3=0,M3="-"),"", "; "&amp;M$1&amp;"("&amp;M3&amp;")("&amp;$C3&amp;")")&amp;
IF(OR(N3="",N3=0,N3="-"),"", "; "&amp;N$1&amp;"("&amp;N3&amp;")("&amp;$C3&amp;")")&amp;
IF(OR(O3="",O3=0,O3="-"),"", "; "&amp;O$1&amp;"("&amp;O3&amp;")("&amp;$C3&amp;")")</f>
        <v>Qulub(45000)(Uduksss); Lintang(23000)(Uduksss); Yohn(45000)(Uduksss); Aldo(43000)(Uduksss); Acha(34200)(Uduksss)</v>
      </c>
      <c r="H3" t="s">
        <v>11</v>
      </c>
      <c r="J3">
        <v>45000</v>
      </c>
      <c r="K3">
        <v>23000</v>
      </c>
      <c r="L3">
        <v>45000</v>
      </c>
      <c r="M3">
        <v>43000</v>
      </c>
      <c r="O3">
        <v>34200</v>
      </c>
    </row>
    <row r="4" spans="1:15" ht="45" x14ac:dyDescent="0.25">
      <c r="A4">
        <v>3</v>
      </c>
      <c r="B4" s="1">
        <v>46270</v>
      </c>
      <c r="C4" t="s">
        <v>18</v>
      </c>
      <c r="D4" t="s">
        <v>13</v>
      </c>
      <c r="E4" t="s">
        <v>14</v>
      </c>
      <c r="F4">
        <v>100000</v>
      </c>
      <c r="G4" s="2" t="str">
        <f t="shared" ref="G4:G10" si="1">IF(OR(J4="",J4=0,J4="-"),"",J$1&amp;"("&amp;J4&amp;")("&amp;$C4&amp;")")&amp;
IF(OR(K4="",K4=0,K4="-"),"",IF(J4="", "", "; ")&amp;K$1&amp;"("&amp;K4&amp;")("&amp;$C4&amp;")")&amp;
IF(OR(L4="",L4=0,L4="-"),"", "; "&amp;L$1&amp;"("&amp;L4&amp;")("&amp;$C4&amp;")")&amp;
IF(OR(M4="",M4=0,M4="-"),"", "; "&amp;M$1&amp;"("&amp;M4&amp;")("&amp;$C4&amp;")")&amp;
IF(OR(N4="",N4=0,N4="-"),"", "; "&amp;N$1&amp;"("&amp;N4&amp;")("&amp;$C4&amp;")")&amp;
IF(OR(O4="",O4=0,O4="-"),"", "; "&amp;O$1&amp;"("&amp;O4&amp;")("&amp;$C4&amp;")")</f>
        <v>Qulub(45000)(Karaokee); Lintang(23000)(Karaokee); Acha(34200)(Karaokee)</v>
      </c>
      <c r="H4" t="s">
        <v>11</v>
      </c>
      <c r="J4">
        <v>45000</v>
      </c>
      <c r="K4">
        <v>23000</v>
      </c>
      <c r="O4">
        <v>34200</v>
      </c>
    </row>
    <row r="5" spans="1:15" ht="45" x14ac:dyDescent="0.25">
      <c r="A5" t="s">
        <v>0</v>
      </c>
      <c r="G5" s="2" t="str">
        <f t="shared" si="1"/>
        <v/>
      </c>
    </row>
    <row r="6" spans="1:15" ht="45" x14ac:dyDescent="0.25">
      <c r="A6" t="s">
        <v>0</v>
      </c>
      <c r="G6" s="2" t="str">
        <f t="shared" si="1"/>
        <v/>
      </c>
    </row>
    <row r="7" spans="1:15" ht="45" x14ac:dyDescent="0.25">
      <c r="A7" t="s">
        <v>0</v>
      </c>
      <c r="G7" s="2" t="str">
        <f t="shared" si="1"/>
        <v/>
      </c>
    </row>
    <row r="8" spans="1:15" ht="45" x14ac:dyDescent="0.25">
      <c r="A8" t="s">
        <v>0</v>
      </c>
      <c r="G8" s="2" t="str">
        <f t="shared" si="1"/>
        <v/>
      </c>
    </row>
    <row r="9" spans="1:15" x14ac:dyDescent="0.25">
      <c r="A9" t="s">
        <v>0</v>
      </c>
      <c r="G9" s="2" t="str">
        <f t="shared" si="1"/>
        <v/>
      </c>
    </row>
    <row r="10" spans="1:15" x14ac:dyDescent="0.25">
      <c r="G10" s="2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harta-gonogini-transactions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Haqqi</dc:creator>
  <cp:lastModifiedBy>Mohammad Haqqi</cp:lastModifiedBy>
  <dcterms:created xsi:type="dcterms:W3CDTF">2026-05-11T04:32:43Z</dcterms:created>
  <dcterms:modified xsi:type="dcterms:W3CDTF">2026-05-12T10:11:00Z</dcterms:modified>
</cp:coreProperties>
</file>