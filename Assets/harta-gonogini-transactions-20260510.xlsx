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Haqqi\Proyek Mini\Harta Gono Gini\Assets\"/>
    </mc:Choice>
  </mc:AlternateContent>
  <bookViews>
    <workbookView xWindow="0" yWindow="0" windowWidth="20490" windowHeight="7020" activeTab="1"/>
  </bookViews>
  <sheets>
    <sheet name="harta-gonogini-transactions-202" sheetId="1" r:id="rId1"/>
    <sheet name="harta-gonogini-transactions (2)" sheetId="2" r:id="rId2"/>
    <sheet name="raw data" sheetId="3" r:id="rId3"/>
  </sheets>
  <calcPr calcId="162913"/>
</workbook>
</file>

<file path=xl/calcChain.xml><?xml version="1.0" encoding="utf-8"?>
<calcChain xmlns="http://schemas.openxmlformats.org/spreadsheetml/2006/main">
  <c r="G2" i="2" l="1"/>
  <c r="J3" i="3"/>
  <c r="J4" i="3"/>
  <c r="J5" i="3"/>
  <c r="J6" i="3"/>
  <c r="J7" i="3"/>
  <c r="I3" i="3"/>
  <c r="I4" i="3"/>
  <c r="I5" i="3"/>
  <c r="E5" i="3" s="1"/>
  <c r="I6" i="3"/>
  <c r="I7" i="3"/>
  <c r="F7" i="3"/>
  <c r="F6" i="3"/>
  <c r="F5" i="3"/>
  <c r="F4" i="3"/>
  <c r="F3" i="3"/>
  <c r="N2" i="3"/>
  <c r="M2" i="3"/>
  <c r="L2" i="3"/>
  <c r="K2" i="3"/>
  <c r="J2" i="3"/>
  <c r="I2" i="3"/>
  <c r="F2" i="3"/>
  <c r="E2" i="3"/>
  <c r="F2" i="2" l="1"/>
  <c r="G4" i="2"/>
  <c r="G5" i="2"/>
  <c r="G6" i="2"/>
  <c r="G7" i="2"/>
  <c r="G8" i="2"/>
  <c r="G9" i="2"/>
  <c r="G10" i="2"/>
  <c r="G3" i="2"/>
  <c r="J2" i="2"/>
  <c r="O2" i="2"/>
  <c r="N2" i="2"/>
  <c r="M2" i="2"/>
  <c r="L2" i="2"/>
  <c r="K2" i="2"/>
</calcChain>
</file>

<file path=xl/sharedStrings.xml><?xml version="1.0" encoding="utf-8"?>
<sst xmlns="http://schemas.openxmlformats.org/spreadsheetml/2006/main" count="92" uniqueCount="24">
  <si>
    <t xml:space="preserve">							</t>
  </si>
  <si>
    <t>ID</t>
  </si>
  <si>
    <t>Tanggal</t>
  </si>
  <si>
    <t>Deskripsi</t>
  </si>
  <si>
    <t>Kategori</t>
  </si>
  <si>
    <t>Pembayar</t>
  </si>
  <si>
    <t>Total</t>
  </si>
  <si>
    <t>Split</t>
  </si>
  <si>
    <t>Status</t>
  </si>
  <si>
    <t>Astro</t>
  </si>
  <si>
    <t>Haqqi</t>
  </si>
  <si>
    <t>Qulub(45500)(Astro); Yohn(45500)(Astro); Lintang(45500)(Astro); Aldo(45500)(Astro); Haqqi(45500)(Astro); Acha(45500)(Astro)</t>
  </si>
  <si>
    <t>Pending</t>
  </si>
  <si>
    <t>Lintang</t>
  </si>
  <si>
    <t>belanja</t>
  </si>
  <si>
    <t>Sayur</t>
  </si>
  <si>
    <t>Qulub(11200)(Sayur); Yohn(11200)(Sayur); Lintang(11200)(Sayur); Aldo(11200)(Sayur); Haqqi(11200)(Sayur); Acha(11200)(Sayur)</t>
  </si>
  <si>
    <t>Qulub</t>
  </si>
  <si>
    <t>Yohn</t>
  </si>
  <si>
    <t>Aldo</t>
  </si>
  <si>
    <t>Uduksss</t>
  </si>
  <si>
    <t>Karaokee</t>
  </si>
  <si>
    <t>Acha</t>
  </si>
  <si>
    <t>Selesai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</si>
</sst>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33" borderId="0" xfId="0" applyFill="1"/>
    <xf numFmtId="0" fontId="0" fillId="34" borderId="0" xfId="0" applyFill="1"/>
    <xf numFmtId="0" fontId="0" fillId="34" borderId="0" xfId="0" applyFill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J1" sqref="J1"/>
    </sheetView>
  </sheetViews>
  <sheetFormatPr defaultRowHeight="15" x14ac:dyDescent="0.25"/>
  <cols>
    <col min="1" max="1" width="6.85546875" customWidth="1"/>
    <col min="2" max="2" width="8.7109375" bestFit="1" customWidth="1"/>
    <col min="7" max="7" width="45.85546875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ht="45" x14ac:dyDescent="0.25">
      <c r="A2">
        <v>1</v>
      </c>
      <c r="B2" s="1">
        <v>46270</v>
      </c>
      <c r="C2" t="s">
        <v>9</v>
      </c>
      <c r="D2" t="s">
        <v>14</v>
      </c>
      <c r="E2" t="s">
        <v>10</v>
      </c>
      <c r="F2">
        <v>273000</v>
      </c>
      <c r="G2" s="3" t="s">
        <v>11</v>
      </c>
      <c r="H2" t="s">
        <v>12</v>
      </c>
    </row>
    <row r="3" spans="1:8" ht="45" x14ac:dyDescent="0.25">
      <c r="A3">
        <v>2</v>
      </c>
      <c r="B3" s="1">
        <v>46270</v>
      </c>
      <c r="C3" t="s">
        <v>15</v>
      </c>
      <c r="D3" t="s">
        <v>14</v>
      </c>
      <c r="E3" t="s">
        <v>13</v>
      </c>
      <c r="F3">
        <v>67000</v>
      </c>
      <c r="G3" s="2" t="s">
        <v>16</v>
      </c>
      <c r="H3" t="s">
        <v>12</v>
      </c>
    </row>
    <row r="4" spans="1:8" x14ac:dyDescent="0.25">
      <c r="A4" t="s">
        <v>0</v>
      </c>
    </row>
    <row r="5" spans="1:8" x14ac:dyDescent="0.25">
      <c r="A5" t="s">
        <v>0</v>
      </c>
    </row>
    <row r="6" spans="1:8" x14ac:dyDescent="0.25">
      <c r="A6" t="s">
        <v>0</v>
      </c>
    </row>
    <row r="7" spans="1:8" x14ac:dyDescent="0.25">
      <c r="A7" t="s">
        <v>0</v>
      </c>
    </row>
    <row r="8" spans="1:8" x14ac:dyDescent="0.25">
      <c r="A8" t="s">
        <v>0</v>
      </c>
    </row>
    <row r="9" spans="1:8" x14ac:dyDescent="0.25">
      <c r="A9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tabSelected="1" workbookViewId="0">
      <selection activeCell="G7" sqref="G7"/>
    </sheetView>
  </sheetViews>
  <sheetFormatPr defaultRowHeight="15" x14ac:dyDescent="0.25"/>
  <cols>
    <col min="1" max="1" width="6.85546875" customWidth="1"/>
    <col min="2" max="2" width="8.7109375" bestFit="1" customWidth="1"/>
    <col min="5" max="5" width="9.85546875" bestFit="1" customWidth="1"/>
    <col min="7" max="7" width="45.85546875" style="2" customWidth="1"/>
  </cols>
  <sheetData>
    <row r="1" spans="1:15" x14ac:dyDescent="0.25">
      <c r="A1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5" t="s">
        <v>6</v>
      </c>
      <c r="G1" s="6" t="s">
        <v>7</v>
      </c>
      <c r="H1" s="4" t="s">
        <v>8</v>
      </c>
      <c r="J1" s="4" t="s">
        <v>17</v>
      </c>
      <c r="K1" s="4" t="s">
        <v>13</v>
      </c>
      <c r="L1" s="4" t="s">
        <v>18</v>
      </c>
      <c r="M1" s="4" t="s">
        <v>19</v>
      </c>
      <c r="N1" s="4" t="s">
        <v>10</v>
      </c>
      <c r="O1" s="4" t="s">
        <v>22</v>
      </c>
    </row>
    <row r="2" spans="1:15" ht="45" x14ac:dyDescent="0.25">
      <c r="A2">
        <v>1</v>
      </c>
      <c r="B2" s="1">
        <v>46270</v>
      </c>
      <c r="C2" t="s">
        <v>9</v>
      </c>
      <c r="D2" t="s">
        <v>14</v>
      </c>
      <c r="E2" t="s">
        <v>10</v>
      </c>
      <c r="F2">
        <f>SUM(J2:O2)</f>
        <v>150000</v>
      </c>
      <c r="G2" s="2" t="str">
        <f>IF(OR(J2="",J2=0,J2="-"),"",J$1&amp;"("&amp;J2&amp;")("&amp;$C2&amp;")")&amp;
IF(OR(K2="",K2=0,K2="-"),"",IF(J2="", "", "; ")&amp;K$1&amp;"("&amp;K2&amp;")("&amp;$C2&amp;")")&amp;
IF(OR(L2="",L2=0,L2="-"),"", "; "&amp;L$1&amp;"("&amp;L2&amp;")("&amp;$C2&amp;")")&amp;
IF(OR(M2="",M2=0,M2="-"),"", "; "&amp;M$1&amp;"("&amp;M2&amp;")("&amp;$C2&amp;")")&amp;
IF(OR(N2="",N2=0,N2="-"),"", "; "&amp;N$1&amp;"("&amp;N2&amp;")("&amp;$C2&amp;")")&amp;
IF(OR(O2="",O2=0,O2="-"),"", "; "&amp;O$1&amp;"("&amp;O2&amp;")("&amp;$C2&amp;")")</f>
        <v>Qulub(25000)(Astro); Lintang(25000)(Astro); Yohn(25000)(Astro); Aldo(25000)(Astro); Haqqi(25000)(Astro); Acha(25000)(Astro)</v>
      </c>
      <c r="H2" t="s">
        <v>12</v>
      </c>
      <c r="J2">
        <f>100000/4</f>
        <v>25000</v>
      </c>
      <c r="K2">
        <f t="shared" ref="K2:O2" si="0">100000/4</f>
        <v>25000</v>
      </c>
      <c r="L2">
        <f t="shared" si="0"/>
        <v>25000</v>
      </c>
      <c r="M2">
        <f t="shared" si="0"/>
        <v>25000</v>
      </c>
      <c r="N2">
        <f t="shared" si="0"/>
        <v>25000</v>
      </c>
      <c r="O2">
        <f t="shared" si="0"/>
        <v>25000</v>
      </c>
    </row>
    <row r="3" spans="1:15" ht="45" x14ac:dyDescent="0.25">
      <c r="A3">
        <v>2</v>
      </c>
      <c r="B3" s="1">
        <v>46270</v>
      </c>
      <c r="C3" t="s">
        <v>20</v>
      </c>
      <c r="D3" t="s">
        <v>14</v>
      </c>
      <c r="E3" t="s">
        <v>13</v>
      </c>
      <c r="F3">
        <v>273000</v>
      </c>
      <c r="G3" s="2" t="str">
        <f>IF(OR(J3="",J3=0,J3="-"),"",J$1&amp;"("&amp;J3&amp;")("&amp;$C3&amp;")")&amp;
IF(OR(K3="",K3=0,K3="-"),"",IF(J3="", "", "; ")&amp;K$1&amp;"("&amp;K3&amp;")("&amp;$C3&amp;")")&amp;
IF(OR(L3="",L3=0,L3="-"),"", "; "&amp;L$1&amp;"("&amp;L3&amp;")("&amp;$C3&amp;")")&amp;
IF(OR(M3="",M3=0,M3="-"),"", "; "&amp;M$1&amp;"("&amp;M3&amp;")("&amp;$C3&amp;")")&amp;
IF(OR(N3="",N3=0,N3="-"),"", "; "&amp;N$1&amp;"("&amp;N3&amp;")("&amp;$C3&amp;")")&amp;
IF(OR(O3="",O3=0,O3="-"),"", "; "&amp;O$1&amp;"("&amp;O3&amp;")("&amp;$C3&amp;")")</f>
        <v>Qulub(45000)(Uduksss); Lintang(23000)(Uduksss); Yohn(45000)(Uduksss); Aldo(43000)(Uduksss); Acha(34200)(Uduksss)</v>
      </c>
      <c r="H3" t="s">
        <v>12</v>
      </c>
      <c r="J3">
        <v>45000</v>
      </c>
      <c r="K3">
        <v>23000</v>
      </c>
      <c r="L3">
        <v>45000</v>
      </c>
      <c r="M3">
        <v>43000</v>
      </c>
      <c r="O3">
        <v>34200</v>
      </c>
    </row>
    <row r="4" spans="1:15" ht="45" x14ac:dyDescent="0.25">
      <c r="A4">
        <v>3</v>
      </c>
      <c r="B4" s="1">
        <v>46270</v>
      </c>
      <c r="C4" t="s">
        <v>21</v>
      </c>
      <c r="D4" t="s">
        <v>14</v>
      </c>
      <c r="E4" t="s">
        <v>17</v>
      </c>
      <c r="F4">
        <v>273000</v>
      </c>
      <c r="G4" s="2" t="str">
        <f t="shared" ref="G4:G10" si="1">IF(OR(J4="",J4=0,J4="-"),"",J$1&amp;"("&amp;J4&amp;")("&amp;$C4&amp;")")&amp;
IF(OR(K4="",K4=0,K4="-"),"",IF(J4="", "", "; ")&amp;K$1&amp;"("&amp;K4&amp;")("&amp;$C4&amp;")")&amp;
IF(OR(L4="",L4=0,L4="-"),"", "; "&amp;L$1&amp;"("&amp;L4&amp;")("&amp;$C4&amp;")")&amp;
IF(OR(M4="",M4=0,M4="-"),"", "; "&amp;M$1&amp;"("&amp;M4&amp;")("&amp;$C4&amp;")")&amp;
IF(OR(N4="",N4=0,N4="-"),"", "; "&amp;N$1&amp;"("&amp;N4&amp;")("&amp;$C4&amp;")")&amp;
IF(OR(O4="",O4=0,O4="-"),"", "; "&amp;O$1&amp;"("&amp;O4&amp;")("&amp;$C4&amp;")")</f>
        <v>Qulub(45000)(Karaokee); Lintang(23000)(Karaokee); Acha(34200)(Karaokee)</v>
      </c>
      <c r="H4" t="s">
        <v>12</v>
      </c>
      <c r="J4">
        <v>45000</v>
      </c>
      <c r="K4">
        <v>23000</v>
      </c>
      <c r="O4">
        <v>34200</v>
      </c>
    </row>
    <row r="5" spans="1:15" ht="45" x14ac:dyDescent="0.25">
      <c r="A5" t="s">
        <v>0</v>
      </c>
      <c r="G5" s="2" t="str">
        <f t="shared" si="1"/>
        <v/>
      </c>
    </row>
    <row r="6" spans="1:15" ht="45" x14ac:dyDescent="0.25">
      <c r="A6" t="s">
        <v>0</v>
      </c>
      <c r="G6" s="2" t="str">
        <f t="shared" si="1"/>
        <v/>
      </c>
    </row>
    <row r="7" spans="1:15" ht="45" x14ac:dyDescent="0.25">
      <c r="A7" t="s">
        <v>0</v>
      </c>
      <c r="G7" s="2" t="str">
        <f t="shared" si="1"/>
        <v/>
      </c>
    </row>
    <row r="8" spans="1:15" ht="45" x14ac:dyDescent="0.25">
      <c r="A8" t="s">
        <v>0</v>
      </c>
      <c r="G8" s="2" t="str">
        <f t="shared" si="1"/>
        <v/>
      </c>
    </row>
    <row r="9" spans="1:15" ht="45" x14ac:dyDescent="0.25">
      <c r="A9" t="s">
        <v>0</v>
      </c>
      <c r="G9" s="2" t="str">
        <f t="shared" si="1"/>
        <v/>
      </c>
    </row>
    <row r="10" spans="1:15" ht="45" x14ac:dyDescent="0.25">
      <c r="G10" s="2" t="str">
        <f t="shared" si="1"/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selection activeCell="F6" sqref="F6"/>
    </sheetView>
  </sheetViews>
  <sheetFormatPr defaultRowHeight="15" x14ac:dyDescent="0.25"/>
  <cols>
    <col min="6" max="6" width="48.85546875" customWidth="1"/>
  </cols>
  <sheetData>
    <row r="1" spans="1:14" x14ac:dyDescent="0.25">
      <c r="A1" s="4" t="s">
        <v>2</v>
      </c>
      <c r="B1" s="4" t="s">
        <v>3</v>
      </c>
      <c r="C1" s="4" t="s">
        <v>4</v>
      </c>
      <c r="D1" s="4" t="s">
        <v>5</v>
      </c>
      <c r="E1" s="5" t="s">
        <v>6</v>
      </c>
      <c r="F1" s="6" t="s">
        <v>7</v>
      </c>
      <c r="G1" s="4" t="s">
        <v>8</v>
      </c>
      <c r="I1" s="4" t="s">
        <v>17</v>
      </c>
      <c r="J1" s="4" t="s">
        <v>13</v>
      </c>
      <c r="K1" s="4" t="s">
        <v>18</v>
      </c>
      <c r="L1" s="4" t="s">
        <v>19</v>
      </c>
      <c r="M1" s="4" t="s">
        <v>10</v>
      </c>
      <c r="N1" s="4" t="s">
        <v>22</v>
      </c>
    </row>
    <row r="2" spans="1:14" ht="45" x14ac:dyDescent="0.25">
      <c r="A2" s="1">
        <v>46270</v>
      </c>
      <c r="B2" t="s">
        <v>9</v>
      </c>
      <c r="C2" t="s">
        <v>14</v>
      </c>
      <c r="D2" t="s">
        <v>10</v>
      </c>
      <c r="E2">
        <f>SUM(I2:N2)</f>
        <v>150000</v>
      </c>
      <c r="F2" s="2" t="str">
        <f>IF(OR(I2="",I2=0,I2="-"),"",I$1&amp;"("&amp;I2&amp;")("&amp;$C2&amp;")")&amp;
IF(OR(J2="",J2=0,J2="-"),"",IF(I2="", "", "; ")&amp;J$1&amp;"("&amp;J2&amp;")("&amp;$C2&amp;")")&amp;
IF(OR(K2="",K2=0,K2="-"),"", "; "&amp;K$1&amp;"("&amp;K2&amp;")("&amp;$C2&amp;")")&amp;
IF(OR(L2="",L2=0,L2="-"),"", "; "&amp;L$1&amp;"("&amp;L2&amp;")("&amp;$C2&amp;")")&amp;
IF(OR(M2="",M2=0,M2="-"),"", "; "&amp;M$1&amp;"("&amp;M2&amp;")("&amp;$C2&amp;")")&amp;
IF(OR(N2="",N2=0,N2="-"),"", "; "&amp;N$1&amp;"("&amp;N2&amp;")("&amp;$C2&amp;")")</f>
        <v>Qulub(25000)(belanja); Lintang(25000)(belanja); Yohn(25000)(belanja); Aldo(25000)(belanja); Haqqi(25000)(belanja); Acha(25000)(belanja)</v>
      </c>
      <c r="G2" t="s">
        <v>23</v>
      </c>
      <c r="I2">
        <f>100000/4</f>
        <v>25000</v>
      </c>
      <c r="J2">
        <f t="shared" ref="J2:N7" si="0">100000/4</f>
        <v>25000</v>
      </c>
      <c r="K2">
        <f t="shared" si="0"/>
        <v>25000</v>
      </c>
      <c r="L2">
        <f t="shared" si="0"/>
        <v>25000</v>
      </c>
      <c r="M2">
        <f t="shared" si="0"/>
        <v>25000</v>
      </c>
      <c r="N2">
        <f t="shared" si="0"/>
        <v>25000</v>
      </c>
    </row>
    <row r="3" spans="1:14" ht="45" x14ac:dyDescent="0.25">
      <c r="A3" s="1">
        <v>46270</v>
      </c>
      <c r="B3" t="s">
        <v>20</v>
      </c>
      <c r="C3" t="s">
        <v>14</v>
      </c>
      <c r="D3" t="s">
        <v>13</v>
      </c>
      <c r="E3">
        <v>273000</v>
      </c>
      <c r="F3" s="2" t="str">
        <f>IF(OR(I3="",I3=0,I3="-"),"",I$1&amp;"("&amp;I3&amp;")("&amp;$C3&amp;")")&amp;
IF(OR(J3="",J3=0,J3="-"),"",IF(I3="", "", "; ")&amp;J$1&amp;"("&amp;J3&amp;")("&amp;$C3&amp;")")&amp;
IF(OR(K3="",K3=0,K3="-"),"", "; "&amp;K$1&amp;"("&amp;K3&amp;")("&amp;$C3&amp;")")&amp;
IF(OR(L3="",L3=0,L3="-"),"", "; "&amp;L$1&amp;"("&amp;L3&amp;")("&amp;$C3&amp;")")&amp;
IF(OR(M3="",M3=0,M3="-"),"", "; "&amp;M$1&amp;"("&amp;M3&amp;")("&amp;$C3&amp;")")&amp;
IF(OR(N3="",N3=0,N3="-"),"", "; "&amp;N$1&amp;"("&amp;N3&amp;")("&amp;$C3&amp;")")</f>
        <v>Qulub(25000)(belanja); Lintang(25000)(belanja); Yohn(45000)(belanja); Aldo(43000)(belanja); Acha(34200)(belanja)</v>
      </c>
      <c r="G3" t="s">
        <v>23</v>
      </c>
      <c r="I3">
        <f t="shared" ref="I3:I7" si="1">100000/4</f>
        <v>25000</v>
      </c>
      <c r="J3">
        <f t="shared" si="0"/>
        <v>25000</v>
      </c>
      <c r="K3">
        <v>45000</v>
      </c>
      <c r="L3">
        <v>43000</v>
      </c>
      <c r="N3">
        <v>34200</v>
      </c>
    </row>
    <row r="4" spans="1:14" ht="30" x14ac:dyDescent="0.25">
      <c r="A4" s="1">
        <v>46270</v>
      </c>
      <c r="B4" t="s">
        <v>21</v>
      </c>
      <c r="C4" t="s">
        <v>14</v>
      </c>
      <c r="D4" t="s">
        <v>17</v>
      </c>
      <c r="E4">
        <v>273000</v>
      </c>
      <c r="F4" s="2" t="str">
        <f t="shared" ref="F4" si="2">IF(OR(I4="",I4=0,I4="-"),"",I$1&amp;"("&amp;I4&amp;")("&amp;$C4&amp;")")&amp;
IF(OR(J4="",J4=0,J4="-"),"",IF(I4="", "", "; ")&amp;J$1&amp;"("&amp;J4&amp;")("&amp;$C4&amp;")")&amp;
IF(OR(K4="",K4=0,K4="-"),"", "; "&amp;K$1&amp;"("&amp;K4&amp;")("&amp;$C4&amp;")")&amp;
IF(OR(L4="",L4=0,L4="-"),"", "; "&amp;L$1&amp;"("&amp;L4&amp;")("&amp;$C4&amp;")")&amp;
IF(OR(M4="",M4=0,M4="-"),"", "; "&amp;M$1&amp;"("&amp;M4&amp;")("&amp;$C4&amp;")")&amp;
IF(OR(N4="",N4=0,N4="-"),"", "; "&amp;N$1&amp;"("&amp;N4&amp;")("&amp;$C4&amp;")")</f>
        <v>Qulub(25000)(belanja); Lintang(25000)(belanja); Acha(34200)(belanja)</v>
      </c>
      <c r="G4" t="s">
        <v>12</v>
      </c>
      <c r="I4">
        <f t="shared" si="1"/>
        <v>25000</v>
      </c>
      <c r="J4">
        <f t="shared" si="0"/>
        <v>25000</v>
      </c>
      <c r="N4">
        <v>34200</v>
      </c>
    </row>
    <row r="5" spans="1:14" ht="45" x14ac:dyDescent="0.25">
      <c r="A5" s="1">
        <v>46270</v>
      </c>
      <c r="B5" t="s">
        <v>9</v>
      </c>
      <c r="C5" t="s">
        <v>14</v>
      </c>
      <c r="D5" t="s">
        <v>10</v>
      </c>
      <c r="E5">
        <f>SUM(I5:N5)</f>
        <v>84200</v>
      </c>
      <c r="F5" s="2" t="str">
        <f>IF(OR(I5="",I5=0,I5="-"),"",I$1&amp;"("&amp;I5&amp;")("&amp;$C5&amp;")")&amp;
IF(OR(J5="",J5=0,J5="-"),"",IF(I5="", "", "; ")&amp;J$1&amp;"("&amp;J5&amp;")("&amp;$C5&amp;")")&amp;
IF(OR(K5="",K5=0,K5="-"),"", "; "&amp;K$1&amp;"("&amp;K5&amp;")("&amp;$C5&amp;")")&amp;
IF(OR(L5="",L5=0,L5="-"),"", "; "&amp;L$1&amp;"("&amp;L5&amp;")("&amp;$C5&amp;")")&amp;
IF(OR(M5="",M5=0,M5="-"),"", "; "&amp;M$1&amp;"("&amp;M5&amp;")("&amp;$C5&amp;")")&amp;
IF(OR(N5="",N5=0,N5="-"),"", "; "&amp;N$1&amp;"("&amp;N5&amp;")("&amp;$C5&amp;")")</f>
        <v>Qulub(25000)(belanja); Lintang(25000)(belanja); Haqqi(34200)(belanja)</v>
      </c>
      <c r="G5" t="s">
        <v>23</v>
      </c>
      <c r="I5">
        <f t="shared" si="1"/>
        <v>25000</v>
      </c>
      <c r="J5">
        <f t="shared" si="0"/>
        <v>25000</v>
      </c>
      <c r="M5">
        <v>34200</v>
      </c>
    </row>
    <row r="6" spans="1:14" ht="45" x14ac:dyDescent="0.25">
      <c r="A6" s="1">
        <v>46270</v>
      </c>
      <c r="B6" t="s">
        <v>20</v>
      </c>
      <c r="C6" t="s">
        <v>14</v>
      </c>
      <c r="D6" t="s">
        <v>13</v>
      </c>
      <c r="E6">
        <v>273000</v>
      </c>
      <c r="F6" s="2" t="str">
        <f>IF(OR(I6="",I6=0,I6="-"),"",I$1&amp;"("&amp;I6&amp;")("&amp;$C6&amp;")")&amp;
IF(OR(J6="",J6=0,J6="-"),"",IF(I6="", "", "; ")&amp;J$1&amp;"("&amp;J6&amp;")("&amp;$C6&amp;")")&amp;
IF(OR(K6="",K6=0,K6="-"),"", "; "&amp;K$1&amp;"("&amp;K6&amp;")("&amp;$C6&amp;")")&amp;
IF(OR(L6="",L6=0,L6="-"),"", "; "&amp;L$1&amp;"("&amp;L6&amp;")("&amp;$C6&amp;")")&amp;
IF(OR(M6="",M6=0,M6="-"),"", "; "&amp;M$1&amp;"("&amp;M6&amp;")("&amp;$C6&amp;")")&amp;
IF(OR(N6="",N6=0,N6="-"),"", "; "&amp;N$1&amp;"("&amp;N6&amp;")("&amp;$C6&amp;")")</f>
        <v>Qulub(25000)(belanja); Lintang(25000)(belanja); Aldo(34200)(belanja)</v>
      </c>
      <c r="G6" t="s">
        <v>23</v>
      </c>
      <c r="I6">
        <f t="shared" si="1"/>
        <v>25000</v>
      </c>
      <c r="J6">
        <f t="shared" si="0"/>
        <v>25000</v>
      </c>
      <c r="L6">
        <v>34200</v>
      </c>
    </row>
    <row r="7" spans="1:14" ht="30" x14ac:dyDescent="0.25">
      <c r="A7" s="1">
        <v>46270</v>
      </c>
      <c r="B7" t="s">
        <v>21</v>
      </c>
      <c r="C7" t="s">
        <v>14</v>
      </c>
      <c r="D7" t="s">
        <v>17</v>
      </c>
      <c r="E7">
        <v>273000</v>
      </c>
      <c r="F7" s="2" t="str">
        <f t="shared" ref="F7" si="3">IF(OR(I7="",I7=0,I7="-"),"",I$1&amp;"("&amp;I7&amp;")("&amp;$C7&amp;")")&amp;
IF(OR(J7="",J7=0,J7="-"),"",IF(I7="", "", "; ")&amp;J$1&amp;"("&amp;J7&amp;")("&amp;$C7&amp;")")&amp;
IF(OR(K7="",K7=0,K7="-"),"", "; "&amp;K$1&amp;"("&amp;K7&amp;")("&amp;$C7&amp;")")&amp;
IF(OR(L7="",L7=0,L7="-"),"", "; "&amp;L$1&amp;"("&amp;L7&amp;")("&amp;$C7&amp;")")&amp;
IF(OR(M7="",M7=0,M7="-"),"", "; "&amp;M$1&amp;"("&amp;M7&amp;")("&amp;$C7&amp;")")&amp;
IF(OR(N7="",N7=0,N7="-"),"", "; "&amp;N$1&amp;"("&amp;N7&amp;")("&amp;$C7&amp;")")</f>
        <v>Qulub(25000)(belanja); Lintang(25000)(belanja); Yohn(34200)(belanja); Acha(34200)(belanja)</v>
      </c>
      <c r="G7" t="s">
        <v>12</v>
      </c>
      <c r="I7">
        <f t="shared" si="1"/>
        <v>25000</v>
      </c>
      <c r="J7">
        <f t="shared" si="0"/>
        <v>25000</v>
      </c>
      <c r="K7">
        <v>34200</v>
      </c>
      <c r="N7">
        <v>34200</v>
      </c>
    </row>
  </sheetData>
  <dataValidations count="1">
    <dataValidation type="list" allowBlank="1" showInputMessage="1" showErrorMessage="1" sqref="G2:G7">
      <formula1>"Pending, Selesai"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harta-gonogini-transactions-202</vt:lpstr>
      <vt:lpstr>harta-gonogini-transactions (2)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Haqqi</dc:creator>
  <cp:lastModifiedBy>Mohammad Haqqi</cp:lastModifiedBy>
  <dcterms:created xsi:type="dcterms:W3CDTF">2026-05-11T04:32:43Z</dcterms:created>
  <dcterms:modified xsi:type="dcterms:W3CDTF">2026-05-13T10:04:00Z</dcterms:modified>
</cp:coreProperties>
</file>